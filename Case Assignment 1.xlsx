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shafarhanashaik/Desktop/MSBA/BAN 630 - Optimization/Case Assignment 1/"/>
    </mc:Choice>
  </mc:AlternateContent>
  <xr:revisionPtr revIDLastSave="0" documentId="8_{7F8F5E98-3A34-9143-8913-0472139323CB}" xr6:coauthVersionLast="47" xr6:coauthVersionMax="47" xr10:uidLastSave="{00000000-0000-0000-0000-000000000000}"/>
  <bookViews>
    <workbookView xWindow="0" yWindow="740" windowWidth="29400" windowHeight="18380" activeTab="1" xr2:uid="{26C43754-1854-714F-AEE1-48E99895077C}"/>
  </bookViews>
  <sheets>
    <sheet name="Answer Report 1" sheetId="3" r:id="rId1"/>
    <sheet name="Sensitivity Report 1" sheetId="4" r:id="rId2"/>
    <sheet name="Sheet1" sheetId="1" r:id="rId3"/>
    <sheet name="Sheet2" sheetId="2" r:id="rId4"/>
  </sheets>
  <definedNames>
    <definedName name="solver_adj" localSheetId="2" hidden="1">Sheet1!$B$17:$B$24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itr" localSheetId="2" hidden="1">2147483647</definedName>
    <definedName name="solver_lhs1" localSheetId="2" hidden="1">Sheet1!$B$31:$B$33</definedName>
    <definedName name="solver_lhs2" localSheetId="2" hidden="1">Sheet1!$B$35:$B$38</definedName>
    <definedName name="solver_lhs3" localSheetId="2" hidden="1">Sheet1!$B$40:$B$43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opt" localSheetId="2" hidden="1">Sheet1!$B$27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1</definedName>
    <definedName name="solver_rel3" localSheetId="2" hidden="1">1</definedName>
    <definedName name="solver_rhs1" localSheetId="2" hidden="1">Sheet1!$D$31:$D$33</definedName>
    <definedName name="solver_rhs2" localSheetId="2" hidden="1">Sheet1!$D$35:$D$38</definedName>
    <definedName name="solver_rhs3" localSheetId="2" hidden="1">Sheet1!$D$40:$D$43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7" i="2" a="1"/>
  <c r="B27" i="2" s="1"/>
  <c r="B31" i="1"/>
  <c r="B36" i="1"/>
  <c r="B38" i="1"/>
  <c r="B37" i="1"/>
  <c r="B35" i="1"/>
  <c r="B43" i="1"/>
  <c r="B42" i="1"/>
  <c r="B41" i="1"/>
  <c r="B40" i="1"/>
  <c r="B33" i="1"/>
  <c r="B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<sst xmlns="http://schemas.openxmlformats.org/spreadsheetml/2006/main" count="252" uniqueCount="132">
  <si>
    <t>Demand</t>
  </si>
  <si>
    <t>Material</t>
  </si>
  <si>
    <t>Face Cream</t>
  </si>
  <si>
    <t>Hand Cream</t>
  </si>
  <si>
    <t>Body Cream</t>
  </si>
  <si>
    <t>Cost</t>
  </si>
  <si>
    <t>Criteria/Vendor</t>
  </si>
  <si>
    <t>Labor (hours/carton)</t>
  </si>
  <si>
    <t>Stage 1</t>
  </si>
  <si>
    <t>Stage 2</t>
  </si>
  <si>
    <t>Materials (pounds/carton)</t>
  </si>
  <si>
    <t>Water</t>
  </si>
  <si>
    <t>Oil</t>
  </si>
  <si>
    <t>Scents and Colors</t>
  </si>
  <si>
    <t>Emulsifiers</t>
  </si>
  <si>
    <t>Decision variables:</t>
  </si>
  <si>
    <t xml:space="preserve">Objective: </t>
  </si>
  <si>
    <t>Minimize Total Cost</t>
  </si>
  <si>
    <t>Inhouse Production Requirements</t>
  </si>
  <si>
    <t>Out Sourcing</t>
  </si>
  <si>
    <t>Bosy Cream</t>
  </si>
  <si>
    <t>Constraints:</t>
  </si>
  <si>
    <t>&gt;=</t>
  </si>
  <si>
    <t>Face Cream Out source A</t>
  </si>
  <si>
    <t>&lt;=</t>
  </si>
  <si>
    <t>Body Cream out source B</t>
  </si>
  <si>
    <t>Face Cream In house Shift 1 X1</t>
  </si>
  <si>
    <t>Face Cream In house Shift 2 X2</t>
  </si>
  <si>
    <t>Body Cream Inhouse Shift 1 Y1</t>
  </si>
  <si>
    <t>Body Cream Inhouse Shift 2 Y2</t>
  </si>
  <si>
    <t>Hand Cream In house Shift 1 Z1</t>
  </si>
  <si>
    <t>Hand Cream In house Shift 2 Z2</t>
  </si>
  <si>
    <t>Purified Water</t>
  </si>
  <si>
    <t xml:space="preserve">Demand : </t>
  </si>
  <si>
    <t xml:space="preserve">Labor : </t>
  </si>
  <si>
    <t>Shift 2 Stage 2</t>
  </si>
  <si>
    <t>Shift 2 Stage 1</t>
  </si>
  <si>
    <t>Shift 1 Stage 2</t>
  </si>
  <si>
    <t>Shift 1 Stage 1</t>
  </si>
  <si>
    <t>Total Cost/Carton - 1st Shift</t>
  </si>
  <si>
    <t>Total Cost/Carton - 2nd Shift</t>
  </si>
  <si>
    <t>Microsoft Excel 16.92 Answer Report</t>
  </si>
  <si>
    <t>Worksheet: [Book2]Sheet1</t>
  </si>
  <si>
    <t>Report Created: 1/27/25 5:50:18 PM</t>
  </si>
  <si>
    <t>Result: Solver found a solution.  All constraints and optimality conditions are satisfied.</t>
  </si>
  <si>
    <t>Solver Engine</t>
  </si>
  <si>
    <t>Engine: Simplex LP</t>
  </si>
  <si>
    <t>Solution Time: 363.028 Seconds.</t>
  </si>
  <si>
    <t>Iterations: 14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</si>
  <si>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</si>
  <si>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</si>
  <si>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</si>
  <si>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</si>
  <si>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</si>
  <si>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</si>
  <si>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</si>
  <si>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</si>
  <si>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</si>
  <si>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</si>
  <si>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</si>
  <si>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</si>
  <si>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</si>
  <si>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</si>
  <si>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</si>
  <si>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$B$27</t>
  </si>
  <si>
    <t>Minimize Total Cost Face Cream</t>
  </si>
  <si>
    <t>$B$17</t>
  </si>
  <si>
    <t>Face Cream In house Shift 1 X1 Face Cream</t>
  </si>
  <si>
    <t>Contin</t>
  </si>
  <si>
    <t>$B$18</t>
  </si>
  <si>
    <t>Face Cream In house Shift 2 X2 Face Cream</t>
  </si>
  <si>
    <t>$B$19</t>
  </si>
  <si>
    <t>Body Cream Inhouse Shift 1 Y1 Face Cream</t>
  </si>
  <si>
    <t>$B$20</t>
  </si>
  <si>
    <t>Body Cream Inhouse Shift 2 Y2 Face Cream</t>
  </si>
  <si>
    <t>$B$21</t>
  </si>
  <si>
    <t>Hand Cream In house Shift 1 Z1 Face Cream</t>
  </si>
  <si>
    <t>$B$22</t>
  </si>
  <si>
    <t>Hand Cream In house Shift 2 Z2 Face Cream</t>
  </si>
  <si>
    <t>$B$23</t>
  </si>
  <si>
    <t>Face Cream Out source A Face Cream</t>
  </si>
  <si>
    <t>$B$24</t>
  </si>
  <si>
    <t>Body Cream out source B Face Cream</t>
  </si>
  <si>
    <t>$B$31</t>
  </si>
  <si>
    <t>Face Cream Face Cream</t>
  </si>
  <si>
    <t>$B$31&gt;=$D$31</t>
  </si>
  <si>
    <t>Binding</t>
  </si>
  <si>
    <t>$B$32</t>
  </si>
  <si>
    <t>Body Cream Face Cream</t>
  </si>
  <si>
    <t>$B$32&gt;=$D$32</t>
  </si>
  <si>
    <t>$B$33</t>
  </si>
  <si>
    <t>Hand Cream Face Cream</t>
  </si>
  <si>
    <t>$B$33&gt;=$D$33</t>
  </si>
  <si>
    <t>$B$35</t>
  </si>
  <si>
    <t>Shift 1 Stage 1 Face Cream</t>
  </si>
  <si>
    <t>$B$35&lt;=$D$35</t>
  </si>
  <si>
    <t>$B$36</t>
  </si>
  <si>
    <t>Shift 1 Stage 2 Face Cream</t>
  </si>
  <si>
    <t>$B$36&lt;=$D$36</t>
  </si>
  <si>
    <t>Not Binding</t>
  </si>
  <si>
    <t>$B$37</t>
  </si>
  <si>
    <t>Shift 2 Stage 1 Face Cream</t>
  </si>
  <si>
    <t>$B$37&lt;=$D$37</t>
  </si>
  <si>
    <t>$B$38</t>
  </si>
  <si>
    <t>Shift 2 Stage 2 Face Cream</t>
  </si>
  <si>
    <t>$B$38&lt;=$D$38</t>
  </si>
  <si>
    <t>$B$40</t>
  </si>
  <si>
    <t>Purified Water Face Cream</t>
  </si>
  <si>
    <t>$B$40&lt;=$D$40</t>
  </si>
  <si>
    <t>$B$41</t>
  </si>
  <si>
    <t>Oil Face Cream</t>
  </si>
  <si>
    <t>$B$41&lt;=$D$41</t>
  </si>
  <si>
    <t>$B$42</t>
  </si>
  <si>
    <t>Scents and Colors Face Cream</t>
  </si>
  <si>
    <t>$B$42&lt;=$D$42</t>
  </si>
  <si>
    <t>$B$43</t>
  </si>
  <si>
    <t>Emulsifiers Face Cream</t>
  </si>
  <si>
    <t>$B$43&lt;=$D$43</t>
  </si>
  <si>
    <t>Microsoft Excel 16.92 Sensitivity Report</t>
  </si>
  <si>
    <t>Report Created: 1/27/25 5:50:19 PM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</si>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</sst>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3.5"/>
      <color theme="1"/>
      <name val="Calibri"/>
      <family val="2"/>
      <scheme val="minor"/>
    </font>
    <font>
      <b/>
      <i/>
      <sz val="12"/>
      <color rgb="FF063DE8"/>
      <name val="Times New Roman"/>
      <family val="1"/>
    </font>
    <font>
      <b/>
      <sz val="12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/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 indent="3" readingOrder="1"/>
    </xf>
    <xf numFmtId="0" fontId="4" fillId="0" borderId="0" xfId="0" applyFont="1" applyFill="1" applyBorder="1"/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0" fillId="0" borderId="5" xfId="0" applyFill="1" applyBorder="1" applyAlignment="1"/>
    <xf numFmtId="0" fontId="7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2" fontId="0" fillId="0" borderId="5" xfId="0" applyNumberFormat="1" applyFill="1" applyBorder="1" applyAlignment="1"/>
    <xf numFmtId="2" fontId="0" fillId="0" borderId="6" xfId="0" applyNumberFormat="1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2C0A-57B3-324A-8A92-EDAC69715E41}">
  <dimension ref="A1:G43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37.83203125" bestFit="1" customWidth="1"/>
    <col min="4" max="4" width="12.83203125" bestFit="1" customWidth="1"/>
    <col min="5" max="5" width="13.5" bestFit="1" customWidth="1"/>
    <col min="6" max="6" width="10.83203125" bestFit="1" customWidth="1"/>
    <col min="7" max="7" width="6.1640625" bestFit="1" customWidth="1"/>
  </cols>
  <sheetData>
    <row r="1" spans="1:5" x14ac:dyDescent="0.2">
      <c r="A1" s="3" t="s">
        <v>41</v>
      </c>
    </row>
    <row r="2" spans="1:5" x14ac:dyDescent="0.2">
      <c r="A2" s="3" t="s">
        <v>42</v>
      </c>
    </row>
    <row r="3" spans="1:5" x14ac:dyDescent="0.2">
      <c r="A3" s="3" t="s">
        <v>43</v>
      </c>
    </row>
    <row r="4" spans="1:5" x14ac:dyDescent="0.2">
      <c r="A4" s="3" t="s">
        <v>44</v>
      </c>
    </row>
    <row r="5" spans="1:5" x14ac:dyDescent="0.2">
      <c r="A5" s="3" t="s">
        <v>45</v>
      </c>
    </row>
    <row r="6" spans="1:5" x14ac:dyDescent="0.2">
      <c r="A6" s="3"/>
      <c r="B6" t="s">
        <v>46</v>
      </c>
    </row>
    <row r="7" spans="1:5" x14ac:dyDescent="0.2">
      <c r="A7" s="3"/>
      <c r="B7" t="s">
        <v>47</v>
      </c>
    </row>
    <row r="8" spans="1:5" x14ac:dyDescent="0.2">
      <c r="A8" s="3"/>
      <c r="B8" t="s">
        <v>48</v>
      </c>
    </row>
    <row r="9" spans="1:5" x14ac:dyDescent="0.2">
      <c r="A9" s="3" t="s">
        <v>49</v>
      </c>
    </row>
    <row r="10" spans="1:5" x14ac:dyDescent="0.2">
      <c r="B10" t="s">
        <v>50</v>
      </c>
    </row>
    <row r="11" spans="1:5" x14ac:dyDescent="0.2">
      <c r="B11" t="s">
        <v>51</v>
      </c>
    </row>
    <row r="14" spans="1:5" ht="17" thickBot="1" x14ac:dyDescent="0.25">
      <c r="A14" t="s">
        <v>52</v>
      </c>
    </row>
    <row r="15" spans="1:5" ht="17" thickBot="1" x14ac:dyDescent="0.25">
      <c r="B15" s="15" t="s">
        <v>53</v>
      </c>
      <c r="C15" s="15" t="s">
        <v>54</v>
      </c>
      <c r="D15" s="15" t="s">
        <v>55</v>
      </c>
      <c r="E15" s="15" t="s">
        <v>56</v>
      </c>
    </row>
    <row r="16" spans="1:5" ht="17" thickBot="1" x14ac:dyDescent="0.25">
      <c r="B16" s="14" t="s">
        <v>64</v>
      </c>
      <c r="C16" s="14" t="s">
        <v>65</v>
      </c>
      <c r="D16" s="17">
        <v>290.8</v>
      </c>
      <c r="E16" s="17">
        <v>1367998</v>
      </c>
    </row>
    <row r="19" spans="1:7" ht="17" thickBot="1" x14ac:dyDescent="0.25">
      <c r="A19" t="s">
        <v>57</v>
      </c>
    </row>
    <row r="20" spans="1:7" ht="17" thickBot="1" x14ac:dyDescent="0.25">
      <c r="B20" s="15" t="s">
        <v>53</v>
      </c>
      <c r="C20" s="15" t="s">
        <v>54</v>
      </c>
      <c r="D20" s="15" t="s">
        <v>55</v>
      </c>
      <c r="E20" s="15" t="s">
        <v>56</v>
      </c>
      <c r="F20" s="15" t="s">
        <v>58</v>
      </c>
    </row>
    <row r="21" spans="1:7" x14ac:dyDescent="0.2">
      <c r="B21" s="16" t="s">
        <v>66</v>
      </c>
      <c r="C21" s="16" t="s">
        <v>67</v>
      </c>
      <c r="D21" s="18">
        <v>1</v>
      </c>
      <c r="E21" s="18">
        <v>0</v>
      </c>
      <c r="F21" s="16" t="s">
        <v>68</v>
      </c>
    </row>
    <row r="22" spans="1:7" x14ac:dyDescent="0.2">
      <c r="B22" s="16" t="s">
        <v>69</v>
      </c>
      <c r="C22" s="16" t="s">
        <v>70</v>
      </c>
      <c r="D22" s="18">
        <v>1</v>
      </c>
      <c r="E22" s="18">
        <v>0</v>
      </c>
      <c r="F22" s="16" t="s">
        <v>68</v>
      </c>
    </row>
    <row r="23" spans="1:7" x14ac:dyDescent="0.2">
      <c r="B23" s="16" t="s">
        <v>71</v>
      </c>
      <c r="C23" s="16" t="s">
        <v>72</v>
      </c>
      <c r="D23" s="18">
        <v>1</v>
      </c>
      <c r="E23" s="18">
        <v>999.99999999999977</v>
      </c>
      <c r="F23" s="16" t="s">
        <v>68</v>
      </c>
    </row>
    <row r="24" spans="1:7" x14ac:dyDescent="0.2">
      <c r="B24" s="16" t="s">
        <v>73</v>
      </c>
      <c r="C24" s="16" t="s">
        <v>74</v>
      </c>
      <c r="D24" s="18">
        <v>1</v>
      </c>
      <c r="E24" s="18">
        <v>0</v>
      </c>
      <c r="F24" s="16" t="s">
        <v>68</v>
      </c>
    </row>
    <row r="25" spans="1:7" x14ac:dyDescent="0.2">
      <c r="B25" s="16" t="s">
        <v>75</v>
      </c>
      <c r="C25" s="16" t="s">
        <v>76</v>
      </c>
      <c r="D25" s="18">
        <v>1</v>
      </c>
      <c r="E25" s="18">
        <v>13200</v>
      </c>
      <c r="F25" s="16" t="s">
        <v>68</v>
      </c>
    </row>
    <row r="26" spans="1:7" x14ac:dyDescent="0.2">
      <c r="B26" s="16" t="s">
        <v>77</v>
      </c>
      <c r="C26" s="16" t="s">
        <v>78</v>
      </c>
      <c r="D26" s="18">
        <v>1</v>
      </c>
      <c r="E26" s="18">
        <v>4800.0000000000045</v>
      </c>
      <c r="F26" s="16" t="s">
        <v>68</v>
      </c>
    </row>
    <row r="27" spans="1:7" x14ac:dyDescent="0.2">
      <c r="B27" s="16" t="s">
        <v>79</v>
      </c>
      <c r="C27" s="16" t="s">
        <v>80</v>
      </c>
      <c r="D27" s="18">
        <v>1</v>
      </c>
      <c r="E27" s="18">
        <v>12000</v>
      </c>
      <c r="F27" s="16" t="s">
        <v>68</v>
      </c>
    </row>
    <row r="28" spans="1:7" ht="17" thickBot="1" x14ac:dyDescent="0.25">
      <c r="B28" s="14" t="s">
        <v>81</v>
      </c>
      <c r="C28" s="14" t="s">
        <v>82</v>
      </c>
      <c r="D28" s="17">
        <v>1</v>
      </c>
      <c r="E28" s="17">
        <v>7000</v>
      </c>
      <c r="F28" s="14" t="s">
        <v>68</v>
      </c>
    </row>
    <row r="31" spans="1:7" ht="17" thickBot="1" x14ac:dyDescent="0.25">
      <c r="A31" t="s">
        <v>59</v>
      </c>
    </row>
    <row r="32" spans="1:7" ht="17" thickBot="1" x14ac:dyDescent="0.25">
      <c r="B32" s="15" t="s">
        <v>53</v>
      </c>
      <c r="C32" s="15" t="s">
        <v>54</v>
      </c>
      <c r="D32" s="15" t="s">
        <v>60</v>
      </c>
      <c r="E32" s="15" t="s">
        <v>61</v>
      </c>
      <c r="F32" s="15" t="s">
        <v>62</v>
      </c>
      <c r="G32" s="15" t="s">
        <v>63</v>
      </c>
    </row>
    <row r="33" spans="2:7" x14ac:dyDescent="0.2">
      <c r="B33" s="16" t="s">
        <v>83</v>
      </c>
      <c r="C33" s="16" t="s">
        <v>84</v>
      </c>
      <c r="D33" s="18">
        <v>12000</v>
      </c>
      <c r="E33" s="16" t="s">
        <v>85</v>
      </c>
      <c r="F33" s="16" t="s">
        <v>86</v>
      </c>
      <c r="G33" s="18">
        <v>0</v>
      </c>
    </row>
    <row r="34" spans="2:7" x14ac:dyDescent="0.2">
      <c r="B34" s="16" t="s">
        <v>87</v>
      </c>
      <c r="C34" s="16" t="s">
        <v>88</v>
      </c>
      <c r="D34" s="18">
        <v>8000</v>
      </c>
      <c r="E34" s="16" t="s">
        <v>89</v>
      </c>
      <c r="F34" s="16" t="s">
        <v>86</v>
      </c>
      <c r="G34" s="18">
        <v>0</v>
      </c>
    </row>
    <row r="35" spans="2:7" x14ac:dyDescent="0.2">
      <c r="B35" s="16" t="s">
        <v>90</v>
      </c>
      <c r="C35" s="16" t="s">
        <v>91</v>
      </c>
      <c r="D35" s="18">
        <v>18000.000000000004</v>
      </c>
      <c r="E35" s="16" t="s">
        <v>92</v>
      </c>
      <c r="F35" s="16" t="s">
        <v>86</v>
      </c>
      <c r="G35" s="18">
        <v>0</v>
      </c>
    </row>
    <row r="36" spans="2:7" x14ac:dyDescent="0.2">
      <c r="B36" s="16" t="s">
        <v>93</v>
      </c>
      <c r="C36" s="16" t="s">
        <v>94</v>
      </c>
      <c r="D36" s="18">
        <v>15000</v>
      </c>
      <c r="E36" s="16" t="s">
        <v>95</v>
      </c>
      <c r="F36" s="16" t="s">
        <v>86</v>
      </c>
      <c r="G36" s="16">
        <v>0</v>
      </c>
    </row>
    <row r="37" spans="2:7" x14ac:dyDescent="0.2">
      <c r="B37" s="16" t="s">
        <v>96</v>
      </c>
      <c r="C37" s="16" t="s">
        <v>97</v>
      </c>
      <c r="D37" s="18">
        <v>7600</v>
      </c>
      <c r="E37" s="16" t="s">
        <v>98</v>
      </c>
      <c r="F37" s="16" t="s">
        <v>99</v>
      </c>
      <c r="G37" s="16">
        <v>2400</v>
      </c>
    </row>
    <row r="38" spans="2:7" x14ac:dyDescent="0.2">
      <c r="B38" s="16" t="s">
        <v>100</v>
      </c>
      <c r="C38" s="16" t="s">
        <v>101</v>
      </c>
      <c r="D38" s="18">
        <v>4800.0000000000045</v>
      </c>
      <c r="E38" s="16" t="s">
        <v>102</v>
      </c>
      <c r="F38" s="16" t="s">
        <v>99</v>
      </c>
      <c r="G38" s="16">
        <v>8699.9999999999964</v>
      </c>
    </row>
    <row r="39" spans="2:7" x14ac:dyDescent="0.2">
      <c r="B39" s="16" t="s">
        <v>103</v>
      </c>
      <c r="C39" s="16" t="s">
        <v>104</v>
      </c>
      <c r="D39" s="18">
        <v>2400.0000000000023</v>
      </c>
      <c r="E39" s="16" t="s">
        <v>105</v>
      </c>
      <c r="F39" s="16" t="s">
        <v>99</v>
      </c>
      <c r="G39" s="16">
        <v>6599.9999999999982</v>
      </c>
    </row>
    <row r="40" spans="2:7" x14ac:dyDescent="0.2">
      <c r="B40" s="16" t="s">
        <v>106</v>
      </c>
      <c r="C40" s="16" t="s">
        <v>107</v>
      </c>
      <c r="D40" s="18">
        <v>132000.00000000003</v>
      </c>
      <c r="E40" s="16" t="s">
        <v>108</v>
      </c>
      <c r="F40" s="16" t="s">
        <v>99</v>
      </c>
      <c r="G40" s="16">
        <v>67999.999999999971</v>
      </c>
    </row>
    <row r="41" spans="2:7" x14ac:dyDescent="0.2">
      <c r="B41" s="16" t="s">
        <v>109</v>
      </c>
      <c r="C41" s="16" t="s">
        <v>110</v>
      </c>
      <c r="D41" s="18">
        <v>39000.000000000007</v>
      </c>
      <c r="E41" s="16" t="s">
        <v>111</v>
      </c>
      <c r="F41" s="16" t="s">
        <v>99</v>
      </c>
      <c r="G41" s="16">
        <v>10999.999999999993</v>
      </c>
    </row>
    <row r="42" spans="2:7" x14ac:dyDescent="0.2">
      <c r="B42" s="16" t="s">
        <v>112</v>
      </c>
      <c r="C42" s="16" t="s">
        <v>113</v>
      </c>
      <c r="D42" s="18">
        <v>7500.0000000000018</v>
      </c>
      <c r="E42" s="16" t="s">
        <v>114</v>
      </c>
      <c r="F42" s="16" t="s">
        <v>86</v>
      </c>
      <c r="G42" s="16">
        <v>0</v>
      </c>
    </row>
    <row r="43" spans="2:7" ht="17" thickBot="1" x14ac:dyDescent="0.25">
      <c r="B43" s="14" t="s">
        <v>115</v>
      </c>
      <c r="C43" s="14" t="s">
        <v>116</v>
      </c>
      <c r="D43" s="17">
        <v>11500.000000000004</v>
      </c>
      <c r="E43" s="14" t="s">
        <v>117</v>
      </c>
      <c r="F43" s="14" t="s">
        <v>99</v>
      </c>
      <c r="G43" s="14">
        <v>3499.9999999999964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8F97-8B3F-CC44-AFEE-BD9C364DF70E}">
  <dimension ref="A1:H31"/>
  <sheetViews>
    <sheetView showGridLines="0" tabSelected="1" workbookViewId="0">
      <selection activeCell="F35" sqref="F35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7.83203125" bestFit="1" customWidth="1"/>
    <col min="4" max="4" width="7.1640625" bestFit="1" customWidth="1"/>
    <col min="5" max="5" width="12.83203125" bestFit="1" customWidth="1"/>
    <col min="6" max="6" width="10" bestFit="1" customWidth="1"/>
    <col min="7" max="8" width="12.1640625" bestFit="1" customWidth="1"/>
  </cols>
  <sheetData>
    <row r="1" spans="1:8" x14ac:dyDescent="0.2">
      <c r="A1" s="3" t="s">
        <v>118</v>
      </c>
    </row>
    <row r="2" spans="1:8" x14ac:dyDescent="0.2">
      <c r="A2" s="3" t="s">
        <v>42</v>
      </c>
    </row>
    <row r="3" spans="1:8" x14ac:dyDescent="0.2">
      <c r="A3" s="3" t="s">
        <v>119</v>
      </c>
    </row>
    <row r="6" spans="1:8" ht="17" thickBot="1" x14ac:dyDescent="0.25">
      <c r="A6" t="s">
        <v>57</v>
      </c>
    </row>
    <row r="7" spans="1:8" x14ac:dyDescent="0.2">
      <c r="B7" s="19"/>
      <c r="C7" s="19"/>
      <c r="D7" s="19" t="s">
        <v>120</v>
      </c>
      <c r="E7" s="19" t="s">
        <v>122</v>
      </c>
      <c r="F7" s="19" t="s">
        <v>123</v>
      </c>
      <c r="G7" s="19" t="s">
        <v>125</v>
      </c>
      <c r="H7" s="19" t="s">
        <v>125</v>
      </c>
    </row>
    <row r="8" spans="1:8" ht="17" thickBot="1" x14ac:dyDescent="0.25">
      <c r="B8" s="20" t="s">
        <v>53</v>
      </c>
      <c r="C8" s="20" t="s">
        <v>54</v>
      </c>
      <c r="D8" s="20" t="s">
        <v>121</v>
      </c>
      <c r="E8" s="20" t="s">
        <v>5</v>
      </c>
      <c r="F8" s="20" t="s">
        <v>124</v>
      </c>
      <c r="G8" s="20" t="s">
        <v>126</v>
      </c>
      <c r="H8" s="20" t="s">
        <v>127</v>
      </c>
    </row>
    <row r="9" spans="1:8" x14ac:dyDescent="0.2">
      <c r="B9" s="16" t="s">
        <v>66</v>
      </c>
      <c r="C9" s="16" t="s">
        <v>67</v>
      </c>
      <c r="D9" s="16">
        <v>0</v>
      </c>
      <c r="E9" s="16">
        <v>19.601666666666663</v>
      </c>
      <c r="F9" s="16">
        <v>32.15</v>
      </c>
      <c r="G9" s="16">
        <v>1E+30</v>
      </c>
      <c r="H9" s="16">
        <v>19.601666666666663</v>
      </c>
    </row>
    <row r="10" spans="1:8" x14ac:dyDescent="0.2">
      <c r="B10" s="16" t="s">
        <v>69</v>
      </c>
      <c r="C10" s="16" t="s">
        <v>70</v>
      </c>
      <c r="D10" s="16">
        <v>0</v>
      </c>
      <c r="E10" s="16">
        <v>19.636666666666631</v>
      </c>
      <c r="F10" s="16">
        <v>34.15</v>
      </c>
      <c r="G10" s="16">
        <v>1E+30</v>
      </c>
      <c r="H10" s="16">
        <v>19.636666666666631</v>
      </c>
    </row>
    <row r="11" spans="1:8" x14ac:dyDescent="0.2">
      <c r="B11" s="16" t="s">
        <v>71</v>
      </c>
      <c r="C11" s="16" t="s">
        <v>72</v>
      </c>
      <c r="D11" s="16">
        <v>999.99999999999977</v>
      </c>
      <c r="E11" s="16">
        <v>0</v>
      </c>
      <c r="F11" s="16">
        <v>37.350000000000009</v>
      </c>
      <c r="G11" s="16">
        <v>9.1999999999953119E-2</v>
      </c>
      <c r="H11" s="16">
        <v>1E+30</v>
      </c>
    </row>
    <row r="12" spans="1:8" x14ac:dyDescent="0.2">
      <c r="B12" s="16" t="s">
        <v>73</v>
      </c>
      <c r="C12" s="16" t="s">
        <v>74</v>
      </c>
      <c r="D12" s="16">
        <v>0</v>
      </c>
      <c r="E12" s="16">
        <v>9.1999999999953133E-2</v>
      </c>
      <c r="F12" s="16">
        <v>39.799999999999983</v>
      </c>
      <c r="G12" s="16">
        <v>1E+30</v>
      </c>
      <c r="H12" s="16">
        <v>9.1999999999953133E-2</v>
      </c>
    </row>
    <row r="13" spans="1:8" x14ac:dyDescent="0.2">
      <c r="B13" s="16" t="s">
        <v>75</v>
      </c>
      <c r="C13" s="16" t="s">
        <v>76</v>
      </c>
      <c r="D13" s="16">
        <v>13200</v>
      </c>
      <c r="E13" s="16">
        <v>0</v>
      </c>
      <c r="F13" s="16">
        <v>25.52000000000001</v>
      </c>
      <c r="G13" s="16">
        <v>1.3100000000000553</v>
      </c>
      <c r="H13" s="16">
        <v>5.1111111111085121E-2</v>
      </c>
    </row>
    <row r="14" spans="1:8" x14ac:dyDescent="0.2">
      <c r="B14" s="16" t="s">
        <v>77</v>
      </c>
      <c r="C14" s="16" t="s">
        <v>78</v>
      </c>
      <c r="D14" s="16">
        <v>4800.0000000000045</v>
      </c>
      <c r="E14" s="16">
        <v>0</v>
      </c>
      <c r="F14" s="16">
        <v>26.830000000000013</v>
      </c>
      <c r="G14" s="16">
        <v>5.1111111111085065E-2</v>
      </c>
      <c r="H14" s="16">
        <v>1.310000000000054</v>
      </c>
    </row>
    <row r="15" spans="1:8" x14ac:dyDescent="0.2">
      <c r="B15" s="16" t="s">
        <v>79</v>
      </c>
      <c r="C15" s="16" t="s">
        <v>80</v>
      </c>
      <c r="D15" s="16">
        <v>12000</v>
      </c>
      <c r="E15" s="16">
        <v>0</v>
      </c>
      <c r="F15" s="16">
        <v>40</v>
      </c>
      <c r="G15" s="16">
        <v>19.601666666666667</v>
      </c>
      <c r="H15" s="16">
        <v>39.999999999999993</v>
      </c>
    </row>
    <row r="16" spans="1:8" ht="17" thickBot="1" x14ac:dyDescent="0.25">
      <c r="B16" s="14" t="s">
        <v>81</v>
      </c>
      <c r="C16" s="14" t="s">
        <v>82</v>
      </c>
      <c r="D16" s="14">
        <v>7000</v>
      </c>
      <c r="E16" s="14">
        <v>0</v>
      </c>
      <c r="F16" s="14">
        <v>55</v>
      </c>
      <c r="G16" s="14">
        <v>1E+30</v>
      </c>
      <c r="H16" s="14">
        <v>11.760999999999985</v>
      </c>
    </row>
    <row r="18" spans="1:8" ht="17" thickBot="1" x14ac:dyDescent="0.25">
      <c r="A18" t="s">
        <v>59</v>
      </c>
    </row>
    <row r="19" spans="1:8" x14ac:dyDescent="0.2">
      <c r="B19" s="19"/>
      <c r="C19" s="19"/>
      <c r="D19" s="19" t="s">
        <v>120</v>
      </c>
      <c r="E19" s="19" t="s">
        <v>128</v>
      </c>
      <c r="F19" s="19" t="s">
        <v>130</v>
      </c>
      <c r="G19" s="19" t="s">
        <v>125</v>
      </c>
      <c r="H19" s="19" t="s">
        <v>125</v>
      </c>
    </row>
    <row r="20" spans="1:8" ht="17" thickBot="1" x14ac:dyDescent="0.25">
      <c r="B20" s="20" t="s">
        <v>53</v>
      </c>
      <c r="C20" s="20" t="s">
        <v>54</v>
      </c>
      <c r="D20" s="20" t="s">
        <v>121</v>
      </c>
      <c r="E20" s="20" t="s">
        <v>129</v>
      </c>
      <c r="F20" s="20" t="s">
        <v>131</v>
      </c>
      <c r="G20" s="20" t="s">
        <v>126</v>
      </c>
      <c r="H20" s="20" t="s">
        <v>127</v>
      </c>
    </row>
    <row r="21" spans="1:8" x14ac:dyDescent="0.2">
      <c r="B21" s="16" t="s">
        <v>83</v>
      </c>
      <c r="C21" s="16" t="s">
        <v>84</v>
      </c>
      <c r="D21" s="16">
        <v>12000</v>
      </c>
      <c r="E21" s="16">
        <v>39.999999999999993</v>
      </c>
      <c r="F21" s="16">
        <v>12000</v>
      </c>
      <c r="G21" s="16">
        <v>1E+30</v>
      </c>
      <c r="H21" s="16">
        <v>12000</v>
      </c>
    </row>
    <row r="22" spans="1:8" x14ac:dyDescent="0.2">
      <c r="B22" s="16" t="s">
        <v>87</v>
      </c>
      <c r="C22" s="16" t="s">
        <v>88</v>
      </c>
      <c r="D22" s="16">
        <v>8000</v>
      </c>
      <c r="E22" s="16">
        <v>55</v>
      </c>
      <c r="F22" s="16">
        <v>8000</v>
      </c>
      <c r="G22" s="16">
        <v>1E+30</v>
      </c>
      <c r="H22" s="16">
        <v>7000</v>
      </c>
    </row>
    <row r="23" spans="1:8" x14ac:dyDescent="0.2">
      <c r="B23" s="16" t="s">
        <v>90</v>
      </c>
      <c r="C23" s="16" t="s">
        <v>91</v>
      </c>
      <c r="D23" s="16">
        <v>18000.000000000004</v>
      </c>
      <c r="E23" s="16">
        <v>47.219333333333303</v>
      </c>
      <c r="F23" s="16">
        <v>18000</v>
      </c>
      <c r="G23" s="16">
        <v>749.9999999999992</v>
      </c>
      <c r="H23" s="16">
        <v>5249.9999999999964</v>
      </c>
    </row>
    <row r="24" spans="1:8" x14ac:dyDescent="0.2">
      <c r="B24" s="16" t="s">
        <v>93</v>
      </c>
      <c r="C24" s="16" t="s">
        <v>94</v>
      </c>
      <c r="D24" s="16">
        <v>15000</v>
      </c>
      <c r="E24" s="16">
        <v>-1.3100000000000538</v>
      </c>
      <c r="F24" s="16">
        <v>15000</v>
      </c>
      <c r="G24" s="16">
        <v>4800.0000000000055</v>
      </c>
      <c r="H24" s="16">
        <v>8700.0000000000036</v>
      </c>
    </row>
    <row r="25" spans="1:8" x14ac:dyDescent="0.2">
      <c r="B25" s="16" t="s">
        <v>96</v>
      </c>
      <c r="C25" s="16" t="s">
        <v>97</v>
      </c>
      <c r="D25" s="16">
        <v>7600</v>
      </c>
      <c r="E25" s="16">
        <v>0</v>
      </c>
      <c r="F25" s="16">
        <v>10000</v>
      </c>
      <c r="G25" s="16">
        <v>1E+30</v>
      </c>
      <c r="H25" s="16">
        <v>2400.0000000000023</v>
      </c>
    </row>
    <row r="26" spans="1:8" x14ac:dyDescent="0.2">
      <c r="B26" s="16" t="s">
        <v>100</v>
      </c>
      <c r="C26" s="16" t="s">
        <v>101</v>
      </c>
      <c r="D26" s="16">
        <v>4800.0000000000045</v>
      </c>
      <c r="E26" s="16">
        <v>0</v>
      </c>
      <c r="F26" s="16">
        <v>13500</v>
      </c>
      <c r="G26" s="16">
        <v>1E+30</v>
      </c>
      <c r="H26" s="16">
        <v>8699.9999999999945</v>
      </c>
    </row>
    <row r="27" spans="1:8" x14ac:dyDescent="0.2">
      <c r="B27" s="16" t="s">
        <v>103</v>
      </c>
      <c r="C27" s="16" t="s">
        <v>104</v>
      </c>
      <c r="D27" s="16">
        <v>2400.0000000000023</v>
      </c>
      <c r="E27" s="16">
        <v>0</v>
      </c>
      <c r="F27" s="16">
        <v>9000</v>
      </c>
      <c r="G27" s="16">
        <v>1E+30</v>
      </c>
      <c r="H27" s="16">
        <v>6599.9999999999991</v>
      </c>
    </row>
    <row r="28" spans="1:8" x14ac:dyDescent="0.2">
      <c r="B28" s="16" t="s">
        <v>106</v>
      </c>
      <c r="C28" s="16" t="s">
        <v>107</v>
      </c>
      <c r="D28" s="16">
        <v>132000.00000000003</v>
      </c>
      <c r="E28" s="16">
        <v>0</v>
      </c>
      <c r="F28" s="16">
        <v>200000</v>
      </c>
      <c r="G28" s="16">
        <v>1E+30</v>
      </c>
      <c r="H28" s="16">
        <v>68000</v>
      </c>
    </row>
    <row r="29" spans="1:8" x14ac:dyDescent="0.2">
      <c r="B29" s="16" t="s">
        <v>109</v>
      </c>
      <c r="C29" s="16" t="s">
        <v>110</v>
      </c>
      <c r="D29" s="16">
        <v>39000.000000000007</v>
      </c>
      <c r="E29" s="16">
        <v>0</v>
      </c>
      <c r="F29" s="16">
        <v>50000</v>
      </c>
      <c r="G29" s="16">
        <v>1E+30</v>
      </c>
      <c r="H29" s="16">
        <v>10999.999999999989</v>
      </c>
    </row>
    <row r="30" spans="1:8" x14ac:dyDescent="0.2">
      <c r="B30" s="16" t="s">
        <v>112</v>
      </c>
      <c r="C30" s="16" t="s">
        <v>113</v>
      </c>
      <c r="D30" s="16">
        <v>7500.0000000000018</v>
      </c>
      <c r="E30" s="16">
        <v>-50.973333333333265</v>
      </c>
      <c r="F30" s="16">
        <v>7500</v>
      </c>
      <c r="G30" s="16">
        <v>1099.9999999999982</v>
      </c>
      <c r="H30" s="16">
        <v>299.99999999999943</v>
      </c>
    </row>
    <row r="31" spans="1:8" ht="17" thickBot="1" x14ac:dyDescent="0.25">
      <c r="B31" s="14" t="s">
        <v>115</v>
      </c>
      <c r="C31" s="14" t="s">
        <v>116</v>
      </c>
      <c r="D31" s="14">
        <v>11500.000000000004</v>
      </c>
      <c r="E31" s="14">
        <v>0</v>
      </c>
      <c r="F31" s="14">
        <v>15000</v>
      </c>
      <c r="G31" s="14">
        <v>1E+30</v>
      </c>
      <c r="H31" s="14">
        <v>3499.9999999999982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B17F-640A-AB4A-ABC8-4DC9F3A3A612}">
  <dimension ref="A1:G43"/>
  <sheetViews>
    <sheetView workbookViewId="0">
      <selection activeCell="B27" sqref="B27"/>
    </sheetView>
  </sheetViews>
  <sheetFormatPr baseColWidth="10" defaultRowHeight="16" x14ac:dyDescent="0.2"/>
  <cols>
    <col min="1" max="1" width="35.5" bestFit="1" customWidth="1"/>
    <col min="7" max="7" width="35.5" bestFit="1" customWidth="1"/>
  </cols>
  <sheetData>
    <row r="1" spans="1:7" ht="30" x14ac:dyDescent="0.25">
      <c r="A1" s="2" t="s">
        <v>18</v>
      </c>
      <c r="E1" s="6"/>
      <c r="F1" s="6" t="s">
        <v>19</v>
      </c>
    </row>
    <row r="2" spans="1:7" x14ac:dyDescent="0.2">
      <c r="E2" s="10"/>
      <c r="F2" s="10"/>
    </row>
    <row r="3" spans="1:7" x14ac:dyDescent="0.2">
      <c r="A3" s="3" t="s">
        <v>6</v>
      </c>
      <c r="B3" s="3" t="s">
        <v>2</v>
      </c>
      <c r="C3" s="3" t="s">
        <v>4</v>
      </c>
      <c r="D3" s="3" t="s">
        <v>3</v>
      </c>
      <c r="E3" s="10"/>
      <c r="F3" s="10" t="s">
        <v>2</v>
      </c>
      <c r="G3" s="11">
        <v>40</v>
      </c>
    </row>
    <row r="4" spans="1:7" x14ac:dyDescent="0.2">
      <c r="A4" s="3" t="s">
        <v>7</v>
      </c>
      <c r="E4" s="10"/>
      <c r="F4" s="10" t="s">
        <v>20</v>
      </c>
      <c r="G4" s="11">
        <v>55</v>
      </c>
    </row>
    <row r="5" spans="1:7" x14ac:dyDescent="0.2">
      <c r="A5" t="s">
        <v>8</v>
      </c>
      <c r="B5" s="11">
        <v>1.5</v>
      </c>
      <c r="C5" s="11">
        <v>1.8</v>
      </c>
      <c r="D5" s="11">
        <v>1</v>
      </c>
      <c r="E5" s="10"/>
      <c r="F5" s="10"/>
    </row>
    <row r="6" spans="1:7" x14ac:dyDescent="0.2">
      <c r="A6" t="s">
        <v>9</v>
      </c>
      <c r="B6" s="11">
        <v>0.8</v>
      </c>
      <c r="C6" s="11">
        <v>1</v>
      </c>
      <c r="D6" s="11">
        <v>0.5</v>
      </c>
      <c r="E6" s="10"/>
      <c r="F6" s="10"/>
    </row>
    <row r="7" spans="1:7" x14ac:dyDescent="0.2">
      <c r="A7" s="3" t="s">
        <v>10</v>
      </c>
      <c r="B7" s="11"/>
      <c r="C7" s="11"/>
      <c r="D7" s="11"/>
      <c r="E7" s="7"/>
      <c r="F7" s="7"/>
    </row>
    <row r="8" spans="1:7" x14ac:dyDescent="0.2">
      <c r="A8" t="s">
        <v>11</v>
      </c>
      <c r="B8" s="11">
        <v>8</v>
      </c>
      <c r="C8" s="11">
        <v>6</v>
      </c>
      <c r="D8" s="11">
        <v>7</v>
      </c>
      <c r="E8" s="7"/>
      <c r="F8" s="7"/>
    </row>
    <row r="9" spans="1:7" x14ac:dyDescent="0.2">
      <c r="A9" t="s">
        <v>12</v>
      </c>
      <c r="B9" s="11">
        <v>1</v>
      </c>
      <c r="C9" s="11">
        <v>3</v>
      </c>
      <c r="D9" s="11">
        <v>2</v>
      </c>
      <c r="E9" s="7"/>
      <c r="F9" s="7"/>
    </row>
    <row r="10" spans="1:7" x14ac:dyDescent="0.2">
      <c r="A10" t="s">
        <v>13</v>
      </c>
      <c r="B10" s="11">
        <v>0.5</v>
      </c>
      <c r="C10" s="11">
        <v>0.3</v>
      </c>
      <c r="D10" s="11">
        <v>0.4</v>
      </c>
      <c r="E10" s="8"/>
      <c r="F10" s="7"/>
    </row>
    <row r="11" spans="1:7" x14ac:dyDescent="0.2">
      <c r="A11" t="s">
        <v>14</v>
      </c>
      <c r="B11" s="11">
        <v>0.5</v>
      </c>
      <c r="C11" s="11">
        <v>0.7</v>
      </c>
      <c r="D11" s="11">
        <v>0.6</v>
      </c>
      <c r="E11" s="9"/>
      <c r="F11" s="7"/>
    </row>
    <row r="12" spans="1:7" x14ac:dyDescent="0.2">
      <c r="A12" t="s">
        <v>39</v>
      </c>
      <c r="B12" s="12">
        <v>32.15</v>
      </c>
      <c r="C12" s="11">
        <v>37.35</v>
      </c>
      <c r="D12" s="11">
        <v>25.52</v>
      </c>
    </row>
    <row r="13" spans="1:7" x14ac:dyDescent="0.2">
      <c r="A13" t="s">
        <v>40</v>
      </c>
      <c r="B13" s="12">
        <v>34.15</v>
      </c>
      <c r="C13" s="11">
        <v>39.799999999999997</v>
      </c>
      <c r="D13" s="11">
        <v>26.83</v>
      </c>
    </row>
    <row r="14" spans="1:7" x14ac:dyDescent="0.2">
      <c r="A14" t="s">
        <v>0</v>
      </c>
      <c r="B14" s="12">
        <v>12000</v>
      </c>
      <c r="C14" s="11">
        <v>8000</v>
      </c>
      <c r="D14" s="11">
        <v>18000</v>
      </c>
    </row>
    <row r="16" spans="1:7" x14ac:dyDescent="0.2">
      <c r="A16" s="4" t="s">
        <v>15</v>
      </c>
    </row>
    <row r="17" spans="1:4" x14ac:dyDescent="0.2">
      <c r="A17" s="1" t="s">
        <v>26</v>
      </c>
      <c r="B17" s="13">
        <v>0</v>
      </c>
    </row>
    <row r="18" spans="1:4" x14ac:dyDescent="0.2">
      <c r="A18" s="1" t="s">
        <v>27</v>
      </c>
      <c r="B18" s="13">
        <v>0</v>
      </c>
    </row>
    <row r="19" spans="1:4" x14ac:dyDescent="0.2">
      <c r="A19" s="1" t="s">
        <v>28</v>
      </c>
      <c r="B19" s="13">
        <v>999.99999999999977</v>
      </c>
    </row>
    <row r="20" spans="1:4" x14ac:dyDescent="0.2">
      <c r="A20" s="1" t="s">
        <v>29</v>
      </c>
      <c r="B20" s="13">
        <v>0</v>
      </c>
    </row>
    <row r="21" spans="1:4" x14ac:dyDescent="0.2">
      <c r="A21" s="1" t="s">
        <v>30</v>
      </c>
      <c r="B21" s="13">
        <v>13200</v>
      </c>
    </row>
    <row r="22" spans="1:4" x14ac:dyDescent="0.2">
      <c r="A22" s="1" t="s">
        <v>31</v>
      </c>
      <c r="B22" s="13">
        <v>4800.0000000000045</v>
      </c>
    </row>
    <row r="23" spans="1:4" x14ac:dyDescent="0.2">
      <c r="A23" s="1" t="s">
        <v>23</v>
      </c>
      <c r="B23" s="13">
        <v>12000</v>
      </c>
    </row>
    <row r="24" spans="1:4" x14ac:dyDescent="0.2">
      <c r="A24" s="1" t="s">
        <v>25</v>
      </c>
      <c r="B24" s="13">
        <v>7000</v>
      </c>
    </row>
    <row r="26" spans="1:4" x14ac:dyDescent="0.2">
      <c r="A26" s="4" t="s">
        <v>16</v>
      </c>
      <c r="B26" s="11"/>
    </row>
    <row r="27" spans="1:4" x14ac:dyDescent="0.2">
      <c r="A27" s="5" t="s">
        <v>17</v>
      </c>
      <c r="B27" s="11">
        <f>B17*B12+B18*B13+B19*C12+B20*C13+B21*D12+B22*D13+B23*G3+B24*G4</f>
        <v>1367998</v>
      </c>
    </row>
    <row r="29" spans="1:4" x14ac:dyDescent="0.2">
      <c r="A29" s="4" t="s">
        <v>21</v>
      </c>
    </row>
    <row r="30" spans="1:4" x14ac:dyDescent="0.2">
      <c r="A30" s="4" t="s">
        <v>33</v>
      </c>
    </row>
    <row r="31" spans="1:4" x14ac:dyDescent="0.2">
      <c r="A31" t="s">
        <v>2</v>
      </c>
      <c r="B31" s="11">
        <f>B17+B18+B23</f>
        <v>12000</v>
      </c>
      <c r="C31" t="s">
        <v>22</v>
      </c>
      <c r="D31" s="11">
        <v>12000</v>
      </c>
    </row>
    <row r="32" spans="1:4" x14ac:dyDescent="0.2">
      <c r="A32" t="s">
        <v>4</v>
      </c>
      <c r="B32" s="11">
        <f>B19+B20+B24</f>
        <v>8000</v>
      </c>
      <c r="C32" t="s">
        <v>22</v>
      </c>
      <c r="D32" s="11">
        <v>8000</v>
      </c>
    </row>
    <row r="33" spans="1:4" x14ac:dyDescent="0.2">
      <c r="A33" t="s">
        <v>3</v>
      </c>
      <c r="B33" s="11">
        <f>B21+B22</f>
        <v>18000.000000000004</v>
      </c>
      <c r="C33" t="s">
        <v>22</v>
      </c>
      <c r="D33" s="11">
        <v>18000</v>
      </c>
    </row>
    <row r="34" spans="1:4" x14ac:dyDescent="0.2">
      <c r="A34" s="4" t="s">
        <v>34</v>
      </c>
      <c r="B34" s="11"/>
      <c r="D34" s="11"/>
    </row>
    <row r="35" spans="1:4" x14ac:dyDescent="0.2">
      <c r="A35" t="s">
        <v>38</v>
      </c>
      <c r="B35" s="11">
        <f>B17*B5+B19*C5+B21*D5</f>
        <v>15000</v>
      </c>
      <c r="C35" t="s">
        <v>24</v>
      </c>
      <c r="D35" s="11">
        <v>15000</v>
      </c>
    </row>
    <row r="36" spans="1:4" x14ac:dyDescent="0.2">
      <c r="A36" t="s">
        <v>37</v>
      </c>
      <c r="B36" s="11">
        <f>B17*B6+B19*C6+B21*D6</f>
        <v>7600</v>
      </c>
      <c r="C36" t="s">
        <v>24</v>
      </c>
      <c r="D36" s="11">
        <v>10000</v>
      </c>
    </row>
    <row r="37" spans="1:4" x14ac:dyDescent="0.2">
      <c r="A37" t="s">
        <v>36</v>
      </c>
      <c r="B37" s="11">
        <f>B18*B5+B20*C5+B22*D5</f>
        <v>4800.0000000000045</v>
      </c>
      <c r="C37" t="s">
        <v>24</v>
      </c>
      <c r="D37" s="11">
        <v>13500</v>
      </c>
    </row>
    <row r="38" spans="1:4" x14ac:dyDescent="0.2">
      <c r="A38" t="s">
        <v>35</v>
      </c>
      <c r="B38" s="11">
        <f>B18*B6+B20*C6+B22*D6</f>
        <v>2400.0000000000023</v>
      </c>
      <c r="C38" t="s">
        <v>24</v>
      </c>
      <c r="D38" s="11">
        <v>9000</v>
      </c>
    </row>
    <row r="39" spans="1:4" x14ac:dyDescent="0.2">
      <c r="A39" s="4" t="s">
        <v>1</v>
      </c>
      <c r="B39" s="11"/>
      <c r="D39" s="11"/>
    </row>
    <row r="40" spans="1:4" x14ac:dyDescent="0.2">
      <c r="A40" t="s">
        <v>32</v>
      </c>
      <c r="B40" s="11">
        <f>B17*B8+B18*B8+B19*C8+B20*C8+B21*D8+B22*D8</f>
        <v>132000.00000000003</v>
      </c>
      <c r="C40" t="s">
        <v>24</v>
      </c>
      <c r="D40" s="11">
        <v>200000</v>
      </c>
    </row>
    <row r="41" spans="1:4" x14ac:dyDescent="0.2">
      <c r="A41" t="s">
        <v>12</v>
      </c>
      <c r="B41" s="11">
        <f>B17*B9+B18*B9+B19*C9+B20*C9+B21*D9+B22*D9</f>
        <v>39000.000000000007</v>
      </c>
      <c r="C41" t="s">
        <v>24</v>
      </c>
      <c r="D41" s="11">
        <v>50000</v>
      </c>
    </row>
    <row r="42" spans="1:4" x14ac:dyDescent="0.2">
      <c r="A42" t="s">
        <v>13</v>
      </c>
      <c r="B42" s="11">
        <f>B17*B10+B18*B10+B19*C10+B20*C10+B21*D10+B22*D10</f>
        <v>7500.0000000000018</v>
      </c>
      <c r="C42" t="s">
        <v>24</v>
      </c>
      <c r="D42" s="11">
        <v>7500</v>
      </c>
    </row>
    <row r="43" spans="1:4" x14ac:dyDescent="0.2">
      <c r="A43" t="s">
        <v>14</v>
      </c>
      <c r="B43" s="11">
        <f>B17*B11+B18*B11+B19*C11+B20*C11+B21*D11+B22*D11</f>
        <v>11500.000000000004</v>
      </c>
      <c r="C43" t="s">
        <v>24</v>
      </c>
      <c r="D43" s="11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4B2D-227A-D94B-A6E9-F4679DD272F5}">
  <dimension ref="A1:G27"/>
  <sheetViews>
    <sheetView workbookViewId="0">
      <selection activeCell="B28" sqref="B28"/>
    </sheetView>
  </sheetViews>
  <sheetFormatPr baseColWidth="10" defaultRowHeight="16" x14ac:dyDescent="0.2"/>
  <cols>
    <col min="1" max="1" width="35.83203125" bestFit="1" customWidth="1"/>
  </cols>
  <sheetData>
    <row r="1" spans="1:7" ht="30" x14ac:dyDescent="0.25">
      <c r="A1" s="2" t="s">
        <v>18</v>
      </c>
      <c r="E1" s="6"/>
      <c r="F1" s="6" t="s">
        <v>19</v>
      </c>
    </row>
    <row r="2" spans="1:7" x14ac:dyDescent="0.2">
      <c r="E2" s="10"/>
      <c r="F2" s="10"/>
    </row>
    <row r="3" spans="1:7" x14ac:dyDescent="0.2">
      <c r="A3" s="3" t="s">
        <v>6</v>
      </c>
      <c r="B3" s="3" t="s">
        <v>2</v>
      </c>
      <c r="C3" s="3" t="s">
        <v>4</v>
      </c>
      <c r="D3" s="3" t="s">
        <v>3</v>
      </c>
      <c r="E3" s="10"/>
      <c r="F3" s="10" t="s">
        <v>2</v>
      </c>
      <c r="G3" s="11">
        <v>40</v>
      </c>
    </row>
    <row r="4" spans="1:7" x14ac:dyDescent="0.2">
      <c r="A4" s="3" t="s">
        <v>7</v>
      </c>
      <c r="E4" s="10"/>
      <c r="F4" s="10" t="s">
        <v>20</v>
      </c>
      <c r="G4" s="11">
        <v>55</v>
      </c>
    </row>
    <row r="5" spans="1:7" x14ac:dyDescent="0.2">
      <c r="A5" t="s">
        <v>8</v>
      </c>
      <c r="B5" s="11">
        <v>1.5</v>
      </c>
      <c r="C5" s="11">
        <v>1.8</v>
      </c>
      <c r="D5" s="11">
        <v>1</v>
      </c>
      <c r="E5" s="10"/>
      <c r="F5" s="10"/>
    </row>
    <row r="6" spans="1:7" x14ac:dyDescent="0.2">
      <c r="A6" t="s">
        <v>9</v>
      </c>
      <c r="B6" s="11">
        <v>0.8</v>
      </c>
      <c r="C6" s="11">
        <v>1</v>
      </c>
      <c r="D6" s="11">
        <v>0.5</v>
      </c>
      <c r="E6" s="10"/>
      <c r="F6" s="10"/>
    </row>
    <row r="7" spans="1:7" x14ac:dyDescent="0.2">
      <c r="A7" s="3" t="s">
        <v>10</v>
      </c>
      <c r="B7" s="11"/>
      <c r="C7" s="11"/>
      <c r="D7" s="11"/>
      <c r="E7" s="7"/>
      <c r="F7" s="7"/>
    </row>
    <row r="8" spans="1:7" x14ac:dyDescent="0.2">
      <c r="A8" t="s">
        <v>11</v>
      </c>
      <c r="B8" s="11">
        <v>8</v>
      </c>
      <c r="C8" s="11">
        <v>6</v>
      </c>
      <c r="D8" s="11">
        <v>7</v>
      </c>
      <c r="E8" s="7"/>
      <c r="F8" s="7"/>
    </row>
    <row r="9" spans="1:7" x14ac:dyDescent="0.2">
      <c r="A9" t="s">
        <v>12</v>
      </c>
      <c r="B9" s="11">
        <v>1</v>
      </c>
      <c r="C9" s="11">
        <v>3</v>
      </c>
      <c r="D9" s="11">
        <v>2</v>
      </c>
      <c r="E9" s="7"/>
      <c r="F9" s="7"/>
    </row>
    <row r="10" spans="1:7" x14ac:dyDescent="0.2">
      <c r="A10" t="s">
        <v>13</v>
      </c>
      <c r="B10" s="11">
        <v>0.5</v>
      </c>
      <c r="C10" s="11">
        <v>0.3</v>
      </c>
      <c r="D10" s="11">
        <v>0.4</v>
      </c>
      <c r="E10" s="8"/>
      <c r="F10" s="7"/>
    </row>
    <row r="11" spans="1:7" x14ac:dyDescent="0.2">
      <c r="A11" t="s">
        <v>14</v>
      </c>
      <c r="B11" s="11">
        <v>0.5</v>
      </c>
      <c r="C11" s="11">
        <v>0.7</v>
      </c>
      <c r="D11" s="11">
        <v>0.6</v>
      </c>
      <c r="E11" s="9"/>
      <c r="F11" s="7"/>
    </row>
    <row r="12" spans="1:7" x14ac:dyDescent="0.2">
      <c r="A12" t="s">
        <v>39</v>
      </c>
      <c r="B12" s="12">
        <v>32.15</v>
      </c>
      <c r="C12" s="11">
        <v>37.35</v>
      </c>
      <c r="D12" s="11">
        <v>25.52</v>
      </c>
    </row>
    <row r="13" spans="1:7" x14ac:dyDescent="0.2">
      <c r="A13" t="s">
        <v>40</v>
      </c>
      <c r="B13" s="12">
        <v>34.17</v>
      </c>
      <c r="C13" s="11">
        <v>39.799999999999997</v>
      </c>
      <c r="D13" s="11">
        <v>26.83</v>
      </c>
    </row>
    <row r="14" spans="1:7" x14ac:dyDescent="0.2">
      <c r="A14" t="s">
        <v>0</v>
      </c>
      <c r="B14" s="12">
        <v>12000</v>
      </c>
      <c r="C14" s="11">
        <v>8000</v>
      </c>
      <c r="D14" s="11">
        <v>18000</v>
      </c>
    </row>
    <row r="16" spans="1:7" x14ac:dyDescent="0.2">
      <c r="A16" s="4" t="s">
        <v>15</v>
      </c>
    </row>
    <row r="17" spans="1:2" x14ac:dyDescent="0.2">
      <c r="A17" s="1" t="s">
        <v>26</v>
      </c>
      <c r="B17" s="13">
        <v>1</v>
      </c>
    </row>
    <row r="18" spans="1:2" x14ac:dyDescent="0.2">
      <c r="A18" s="1" t="s">
        <v>27</v>
      </c>
      <c r="B18" s="13">
        <v>1</v>
      </c>
    </row>
    <row r="19" spans="1:2" x14ac:dyDescent="0.2">
      <c r="A19" s="1" t="s">
        <v>28</v>
      </c>
      <c r="B19" s="13">
        <v>1</v>
      </c>
    </row>
    <row r="20" spans="1:2" x14ac:dyDescent="0.2">
      <c r="A20" s="1" t="s">
        <v>29</v>
      </c>
      <c r="B20" s="13">
        <v>1</v>
      </c>
    </row>
    <row r="21" spans="1:2" x14ac:dyDescent="0.2">
      <c r="A21" s="1" t="s">
        <v>30</v>
      </c>
      <c r="B21" s="13">
        <v>1</v>
      </c>
    </row>
    <row r="22" spans="1:2" x14ac:dyDescent="0.2">
      <c r="A22" s="1" t="s">
        <v>31</v>
      </c>
      <c r="B22" s="13">
        <v>1</v>
      </c>
    </row>
    <row r="23" spans="1:2" x14ac:dyDescent="0.2">
      <c r="A23" s="1" t="s">
        <v>23</v>
      </c>
      <c r="B23" s="13">
        <v>1</v>
      </c>
    </row>
    <row r="24" spans="1:2" x14ac:dyDescent="0.2">
      <c r="A24" s="1" t="s">
        <v>25</v>
      </c>
      <c r="B24" s="13">
        <v>1</v>
      </c>
    </row>
    <row r="26" spans="1:2" x14ac:dyDescent="0.2">
      <c r="A26" s="4" t="s">
        <v>16</v>
      </c>
      <c r="B26" s="11"/>
    </row>
    <row r="27" spans="1:2" x14ac:dyDescent="0.2">
      <c r="A27" s="5" t="s">
        <v>17</v>
      </c>
      <c r="B27" s="11" t="e" cm="1">
        <f t="array" ref="B27">B17*Sheet1!G12B12+B18*B13+B19*C12+B20*C13+B21*D12+B22*D13+B23*G3+B24*G4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amishafarhana992@gmail.com</dc:creator>
  <cp:lastModifiedBy>amishafarhana992@gmail.com</cp:lastModifiedBy>
  <dcterms:created xsi:type="dcterms:W3CDTF">2025-01-27T23:57:53Z</dcterms:created>
  <dcterms:modified xsi:type="dcterms:W3CDTF">2025-01-28T01:52:03Z</dcterms:modified>
</cp:coreProperties>
</file>